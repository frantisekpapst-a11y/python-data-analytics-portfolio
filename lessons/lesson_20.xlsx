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t\Documents\data-analytics-workspace\python\"/>
    </mc:Choice>
  </mc:AlternateContent>
  <xr:revisionPtr revIDLastSave="0" documentId="8_{1D3CD50F-EC52-46D7-BC57-D901B4A1759D}" xr6:coauthVersionLast="47" xr6:coauthVersionMax="47" xr10:uidLastSave="{00000000-0000-0000-0000-000000000000}"/>
  <bookViews>
    <workbookView xWindow="-108" yWindow="-108" windowWidth="23256" windowHeight="13896" xr2:uid="{599E928E-F3BB-4F5F-9721-80576A5ACFD3}"/>
  </bookViews>
  <sheets>
    <sheet name="wide_long_power_query" sheetId="9" r:id="rId1"/>
    <sheet name="append_power_query" sheetId="7" r:id="rId2"/>
    <sheet name="append_python" sheetId="6" r:id="rId3"/>
    <sheet name="merge_power_query" sheetId="4" r:id="rId4"/>
    <sheet name="merge_python" sheetId="3" r:id="rId5"/>
    <sheet name="groupby_power_query_python" sheetId="2" r:id="rId6"/>
  </sheets>
  <definedNames>
    <definedName name="ExternalData_1" localSheetId="1" hidden="1">append_power_query!$A$1:$C$3</definedName>
    <definedName name="ExternalData_1" localSheetId="3" hidden="1">merge_power_query!$A$1:$E$5</definedName>
    <definedName name="ExternalData_1" localSheetId="0" hidden="1">wide_long_power_query!$A$1:$C$10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6" l="1" a="1"/>
  <c r="A7" i="3" s="1" a="1"/>
  <c r="D2" i="2" s="1" a="1"/>
  <c r="D3" i="2" s="1" a="1"/>
  <c r="D4" i="2" s="1" a="1"/>
  <c r="D5" i="2" s="1" a="1"/>
  <c r="A18" i="2" s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C3C623-ED4E-41C7-A5B7-445ECFBBAC10}" keepAlive="1" name="Dotaz – customers" description="Připojení k dotazu produktu customers v sešitě" type="5" refreshedVersion="8" background="1" saveData="1">
    <dbPr connection="Provider=Microsoft.Mashup.OleDb.1;Data Source=$Workbook$;Location=customers;Extended Properties=&quot;&quot;" command="SELECT * FROM [customers]"/>
  </connection>
  <connection id="2" xr16:uid="{8F21CAE7-63D1-431F-94E2-0E08843DBB69}" keepAlive="1" name="Dotaz – df" description="Připojení k dotazu produktu df v sešitě" type="5" refreshedVersion="8" background="1">
    <dbPr connection="Provider=Microsoft.Mashup.OleDb.1;Data Source=$Workbook$;Location=df;Extended Properties=&quot;&quot;" command="SELECT * FROM [df]"/>
  </connection>
  <connection id="3" xr16:uid="{51D279F3-70AD-4C79-9F5C-EC6A1F299074}" keepAlive="1" name="Dotaz – orders" description="Připojení k dotazu produktu orders v sešitě" type="5" refreshedVersion="8" background="1" saveData="1">
    <dbPr connection="Provider=Microsoft.Mashup.OleDb.1;Data Source=$Workbook$;Location=orders;Extended Properties=&quot;&quot;" command="SELECT * FROM [orders]"/>
  </connection>
  <connection id="4" xr16:uid="{81B77CB4-F714-4D74-BA3B-147DEDD73FBC}" keepAlive="1" name="Dotaz – orders_1" description="Připojení k dotazu produktu orders_1 v sešitě" type="5" refreshedVersion="0" background="1">
    <dbPr connection="Provider=Microsoft.Mashup.OleDb.1;Data Source=$Workbook$;Location=orders_1;Extended Properties=&quot;&quot;" command="SELECT * FROM [orders_1]"/>
  </connection>
  <connection id="5" xr16:uid="{AFC15F59-E317-4C78-B7E5-ECF86CCCBB27}" keepAlive="1" name="Dotaz – orders_2" description="Připojení k dotazu produktu orders_2 v sešitě" type="5" refreshedVersion="8" background="1" saveData="1">
    <dbPr connection="Provider=Microsoft.Mashup.OleDb.1;Data Source=$Workbook$;Location=orders_2;Extended Properties=&quot;&quot;" command="SELECT * FROM [orders_2]"/>
  </connection>
  <connection id="6" xr16:uid="{84088C18-E846-4AD3-B674-234C3F1C1398}" keepAlive="1" name="Dotaz – segmenty" description="Připojení k dotazu produktu segmenty v sešitě" type="5" refreshedVersion="8" background="1" saveData="1">
    <dbPr connection="Provider=Microsoft.Mashup.OleDb.1;Data Source=$Workbook$;Location=segmenty;Extended Properties=&quot;&quot;" command="SELECT * FROM [segmenty]"/>
  </connection>
  <connection id="7" xr16:uid="{37E10A09-77F7-482D-A4F3-6A3D677C7166}" keepAlive="1" name="Dotaz – segmenty_1" description="Připojení k dotazu produktu segmenty_1 v sešitě" type="5" refreshedVersion="0" background="1">
    <dbPr connection="Provider=Microsoft.Mashup.OleDb.1;Data Source=$Workbook$;Location=segmenty_1;Extended Properties=&quot;&quot;" command="SELECT * FROM [segmenty_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7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orders_1 = xl(
    %P2%,
    headers=True
)
orders_2 = xl(
    %P3%,
    headers=True
)
result = pd.concat(
    [
        orders_1,
        orders_2
    ],
    ignore_index=True
)
result</code>
    </pythonScript>
    <pythonScript>
      <code>orders = xl(
    %P2%,
    headers=True
)
customers = xl(
    %P3%,
    headers=True
)
result = orders.merge(
    customers,
    on="customer_id",
    how="left"
)
result</code>
    </pythonScript>
    <pythonScript>
      <code>1+1</code>
    </pythonScript>
    <pythonScript>
      <code>df = xl(%P2%, headers=True)
df</code>
    </pythonScript>
    <pythonScript>
      <code>df["Součet z total"].sum()</code>
    </pythonScript>
    <pythonScript>
      <code>df.sort_values(
    by="Součet z total",
    ascending=False
)</code>
    </pythonScript>
    <pythonScript>
      <code>df = xl(%P2%, headers=True)
df["quantity"] = df["quantity"].astype(int)
df["unit_price"] = df["unit_price"].astype(int)
df["total"] = (
    df["quantity"]
    * df["unit_price"]
)
revenue_by_product = (
    df.groupby(
        "product",
        as_index=False
    )["total"]
    .sum()
    .sort_values(
        by="total",
        ascending=False
    )
)
revenue_by_product</code>
    </pythonScript>
  </pythonScripts>
</python>
</file>

<file path=xl/sharedStrings.xml><?xml version="1.0" encoding="utf-8"?>
<sst xmlns="http://schemas.openxmlformats.org/spreadsheetml/2006/main" count="94" uniqueCount="37">
  <si>
    <t>Popisky řádků</t>
  </si>
  <si>
    <t>Desk</t>
  </si>
  <si>
    <t>Chair</t>
  </si>
  <si>
    <t>Laptop</t>
  </si>
  <si>
    <t>Monitor</t>
  </si>
  <si>
    <t>Celkový součet</t>
  </si>
  <si>
    <t>Součet z total</t>
  </si>
  <si>
    <t>region</t>
  </si>
  <si>
    <t>product</t>
  </si>
  <si>
    <t>quantity</t>
  </si>
  <si>
    <t>unit_price</t>
  </si>
  <si>
    <t>Praha</t>
  </si>
  <si>
    <t>2</t>
  </si>
  <si>
    <t>25000</t>
  </si>
  <si>
    <t>Brno</t>
  </si>
  <si>
    <t>3</t>
  </si>
  <si>
    <t>8000</t>
  </si>
  <si>
    <t>4</t>
  </si>
  <si>
    <t>6000</t>
  </si>
  <si>
    <t>Ostrava</t>
  </si>
  <si>
    <t>5000</t>
  </si>
  <si>
    <t>1</t>
  </si>
  <si>
    <t>order_id</t>
  </si>
  <si>
    <t>customer_id</t>
  </si>
  <si>
    <t>revenue</t>
  </si>
  <si>
    <t>C001</t>
  </si>
  <si>
    <t>C002</t>
  </si>
  <si>
    <t>C003</t>
  </si>
  <si>
    <t>customer_name</t>
  </si>
  <si>
    <t>Jan Novák</t>
  </si>
  <si>
    <t>Eva Malá</t>
  </si>
  <si>
    <t>Petr Dvořák</t>
  </si>
  <si>
    <t>month</t>
  </si>
  <si>
    <t>B2B</t>
  </si>
  <si>
    <t>B2C</t>
  </si>
  <si>
    <t>Partner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</si>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</sst>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indexed="8"/>
      <name val="Calibri"/>
      <family val="2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4" fontId="0" fillId="0" borderId="0" xfId="0" applyNumberFormat="1"/>
  </cellXfs>
  <cellStyles count="1">
    <cellStyle name="Normální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microsoft.com/office/2023/09/relationships/Python" Target="python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Array" Target="richData/rdarray.xml"/><Relationship Id="rId10" Type="http://schemas.openxmlformats.org/officeDocument/2006/relationships/styles" Target="style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microsoft.com/office/2017/06/relationships/rdRichValueStructure" Target="richData/rdrichvaluestructure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tišek Papst" refreshedDate="46265.939938541669" backgroundQuery="1" createdVersion="8" refreshedVersion="8" minRefreshableVersion="3" recordCount="4" xr:uid="{84088694-03B1-4305-B788-C584E7896D4A}">
  <cacheSource type="external" connectionId="2"/>
  <cacheFields count="2">
    <cacheField name="product" numFmtId="0">
      <sharedItems count="4">
        <s v="Laptop"/>
        <s v="Desk"/>
        <s v="Monitor"/>
        <s v="Chair"/>
      </sharedItems>
    </cacheField>
    <cacheField name="total" numFmtId="0">
      <sharedItems containsSemiMixedTypes="0" containsString="0" containsNumber="1" containsInteger="1" minValue="10000" maxValue="75000" count="3">
        <n v="75000"/>
        <n v="24000"/>
        <n v="1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</r>
  <r>
    <x v="1"/>
    <x v="1"/>
  </r>
  <r>
    <x v="2"/>
    <x v="1"/>
  </r>
  <r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88912-60A3-435A-90C8-324ED7774D55}" name="Kontingenční tabulka1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fieldListSortAscending="1">
  <location ref="A1:B6" firstHeaderRow="1" firstDataRow="1" firstDataCol="1"/>
  <pivotFields count="2">
    <pivotField axis="axisRow" showAll="0">
      <items count="5">
        <item x="1"/>
        <item x="3"/>
        <item x="0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učet z total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6930A2DD-FEB7-4ACD-8D43-16F0B1DEDEAC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segment" tableColumnId="2"/>
      <queryTableField id="3" name="reven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6D5B73A-1F01-4E21-99A4-AB8C5B405073}" autoFormatId="16" applyNumberFormats="0" applyBorderFormats="0" applyFontFormats="0" applyPatternFormats="0" applyAlignmentFormats="0" applyWidthHeightFormats="0">
  <queryTableRefresh nextId="4">
    <queryTableFields count="3">
      <queryTableField id="1" name="order_id" tableColumnId="1"/>
      <queryTableField id="2" name="customer_id" tableColumnId="2"/>
      <queryTableField id="3" name="revenu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3EE0F1D-CBD8-40FB-B292-F8BA39928C0F}" autoFormatId="16" applyNumberFormats="0" applyBorderFormats="0" applyFontFormats="0" applyPatternFormats="0" applyAlignmentFormats="0" applyWidthHeightFormats="0">
  <queryTableRefresh nextId="6">
    <queryTableFields count="5">
      <queryTableField id="1" name="order_id" tableColumnId="1"/>
      <queryTableField id="2" name="customer_id" tableColumnId="2"/>
      <queryTableField id="3" name="revenue" tableColumnId="3"/>
      <queryTableField id="4" name="customer_name" tableColumnId="4"/>
      <queryTableField id="5" name="region" tableColumnId="5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">
  <a r="5" c="3">
    <v t="s"/>
    <v t="s">Popisky řádků</v>
    <v t="s">Součet z total</v>
    <v>0</v>
    <v t="s">Desk</v>
    <v>24000</v>
    <v>1</v>
    <v t="s">Chair</v>
    <v>10000</v>
    <v>2</v>
    <v t="s">Laptop</v>
    <v>75000</v>
    <v>3</v>
    <v t="s">Monitor</v>
    <v>24000</v>
  </a>
  <a r="5" c="3">
    <v t="s"/>
    <v t="s">Popisky řádků</v>
    <v t="s">Součet z total</v>
    <v>2</v>
    <v t="s">Laptop</v>
    <v>75000</v>
    <v>0</v>
    <v t="s">Desk</v>
    <v>24000</v>
    <v>3</v>
    <v t="s">Monitor</v>
    <v>24000</v>
    <v>1</v>
    <v t="s">Chair</v>
    <v>10000</v>
  </a>
</arrayData>
</file>

<file path=xl/richData/rdrichvalue.xml><?xml version="1.0" encoding="utf-8"?>
<rvData xmlns="http://schemas.microsoft.com/office/spreadsheetml/2017/richdata" count="8">
  <rv s="0">
    <fb>2</fb>
    <v>&lt;class 'int'&gt;</v>
    <v>int</v>
    <v>2</v>
    <v>2</v>
    <v>0</v>
  </rv>
  <rv s="1">
    <v>0</v>
  </rv>
  <rv s="2">
    <v>DataFrame</v>
    <v>2</v>
    <v>1</v>
  </rv>
  <rv s="3">
    <v>&lt;class 'pandas.core.frame.DataFrame'&gt;</v>
    <v>DataFrame</v>
    <v xml:space="preserve">  Popisky řádků  Součet z total
0          Desk           24000
1         Chair           10000
2        Laptop           75000
3       Monitor           24000</v>
    <v>2</v>
    <v>0</v>
  </rv>
  <rv s="0">
    <fb>133000</fb>
    <v>&lt;class 'numpy.int64'&gt;</v>
    <v>int64</v>
    <v>133000</v>
    <v>133000</v>
    <v>0</v>
  </rv>
  <rv s="1">
    <v>1</v>
  </rv>
  <rv s="2">
    <v>DataFrame</v>
    <v>2</v>
    <v>5</v>
  </rv>
  <rv s="3">
    <v>&lt;class 'pandas.core.frame.DataFrame'&gt;</v>
    <v>DataFrame</v>
    <v xml:space="preserve">  Popisky řádků  Součet z total
2        Laptop           75000
0          Desk           24000
3       Monitor           24000
1         Chair           10000</v>
    <v>6</v>
    <v>0</v>
  </rv>
</rvData>
</file>

<file path=xl/richData/rdrichvaluestructure.xml><?xml version="1.0" encoding="utf-8"?>
<rvStructures xmlns="http://schemas.microsoft.com/office/spreadsheetml/2017/richdata" count="4">
  <s t="_python">
    <k n="Python_type" t="s"/>
    <k n="Python_typeName" t="s"/>
    <k n="Python_str" t="s"/>
    <k n="basicValue" t="i"/>
    <k n="_Provider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https://www.anaconda.com/excel</v>
      <v>https://res.cdn.office.net/officepysvc/prod-service/anacondalogo.png</v>
      <v>Python poskytuje společnost Anaconda</v>
    </spb>
    <spb s="1">
      <v>4</v>
      <v>2</v>
      <v>DataFrame</v>
      <v>arrayPreview</v>
      <v>1</v>
    </spb>
    <spb s="2">
      <v>1</v>
    </spb>
  </spbData>
</supportingPropertyBags>
</file>

<file path=xl/richData/rdsupportingpropertybagstructure.xml><?xml version="1.0" encoding="utf-8"?>
<spbStructures xmlns="http://schemas.microsoft.com/office/spreadsheetml/2017/richdata2" count="3">
  <s>
    <k n="link" t="s"/>
    <k n="logo" t="s"/>
    <k n="name" t="s"/>
  </s>
  <s>
    <k n="drw" t="i"/>
    <k n="dcol" t="i"/>
    <k n="name" t="s"/>
    <k n="array" t="s"/>
    <k n="headers" t="b"/>
  </s>
  <s>
    <k n="ArrayCardInfo" t="spb"/>
  </s>
</spb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A1FA2C0-5719-4C30-919B-03B7D71BAF6A}" name="segmenty_1" displayName="segmenty_1" ref="A1:C10" tableType="queryTable" totalsRowShown="0">
  <autoFilter ref="A1:C10" xr:uid="{5A1FA2C0-5719-4C30-919B-03B7D71BAF6A}"/>
  <tableColumns count="3">
    <tableColumn id="1" xr3:uid="{0EB1E5C6-071D-4C12-BA6C-6416AB986108}" uniqueName="1" name="month" queryTableFieldId="1" dataDxfId="4"/>
    <tableColumn id="2" xr3:uid="{042F56C8-0802-48A6-93FF-2041C15B219C}" uniqueName="2" name="segment" queryTableFieldId="2" dataDxfId="3"/>
    <tableColumn id="3" xr3:uid="{C7FF967D-C2B6-458B-ADAD-6A8990551F3B}" uniqueName="3" name="revenue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BE3AF9E-3505-4785-AB9F-34AABFBEF496}" name="orders_3" displayName="orders_3" ref="A1:C3" tableType="queryTable" totalsRowShown="0">
  <autoFilter ref="A1:C3" xr:uid="{FBE3AF9E-3505-4785-AB9F-34AABFBEF496}"/>
  <tableColumns count="3">
    <tableColumn id="1" xr3:uid="{2940918A-ADBD-420B-A0EF-82F46C4D58CF}" uniqueName="1" name="order_id" queryTableFieldId="1"/>
    <tableColumn id="2" xr3:uid="{83AF0502-29BA-4A67-A6E4-E14D6B21DA64}" uniqueName="2" name="customer_id" queryTableFieldId="2" dataDxfId="5"/>
    <tableColumn id="3" xr3:uid="{29BCB132-3594-4504-BFDE-080F81704BD9}" uniqueName="3" name="revenue" queryTableField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2D7259-3050-4008-A19F-63676BD54DAF}" name="orders_1" displayName="orders_1" ref="A1:C3" totalsRowShown="0">
  <autoFilter ref="A1:C3" xr:uid="{032D7259-3050-4008-A19F-63676BD54DAF}"/>
  <tableColumns count="3">
    <tableColumn id="1" xr3:uid="{4123945F-CD0F-4BCB-BCCB-4DB35ED8D441}" name="order_id"/>
    <tableColumn id="2" xr3:uid="{9DF5DE4C-CDF6-41B4-8EBE-969E73F2741E}" name="customer_id"/>
    <tableColumn id="3" xr3:uid="{FCC24262-225E-420B-909A-C734953AA972}" name="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4D9FC17-2A44-40DB-AD4E-EF33CEC15C32}" name="orders_2" displayName="orders_2" ref="E1:G3" totalsRowShown="0">
  <autoFilter ref="E1:G3" xr:uid="{34D9FC17-2A44-40DB-AD4E-EF33CEC15C32}"/>
  <tableColumns count="3">
    <tableColumn id="1" xr3:uid="{80350A01-400C-4849-901D-2F64004EB893}" name="order_id"/>
    <tableColumn id="2" xr3:uid="{AAA577AE-127D-4576-9CB2-CA412BB39D37}" name="customer_id"/>
    <tableColumn id="3" xr3:uid="{E60244FC-70A1-4594-8840-318411E5D4EC}" name="reven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86DDF6-FF4D-43AD-B9B0-B25921A7FF5C}" name="orders" displayName="orders" ref="A1:E5" tableType="queryTable" totalsRowShown="0">
  <autoFilter ref="A1:E5" xr:uid="{1B86DDF6-FF4D-43AD-B9B0-B25921A7FF5C}"/>
  <tableColumns count="5">
    <tableColumn id="1" xr3:uid="{792606F8-5041-48A1-A9CD-475F428863D8}" uniqueName="1" name="order_id" queryTableFieldId="1"/>
    <tableColumn id="2" xr3:uid="{2CBCA5B3-A69F-4B8F-B6EC-C77070DBB48E}" uniqueName="2" name="customer_id" queryTableFieldId="2" dataDxfId="2"/>
    <tableColumn id="3" xr3:uid="{E73ABBE5-7B2C-447D-93BC-844462DE272B}" uniqueName="3" name="revenue" queryTableFieldId="3"/>
    <tableColumn id="4" xr3:uid="{CCD36C70-46DF-42B0-BC2D-3A64F96E59F9}" uniqueName="4" name="customer_name" queryTableFieldId="4" dataDxfId="1"/>
    <tableColumn id="5" xr3:uid="{5DD8374E-0FC8-48A6-AF0A-7A700A36C7DB}" uniqueName="5" name="region" queryTableFieldId="5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C0591C-1073-4913-882A-D831D691B97E}" name="orders" displayName="orders_4" ref="A1:C5" totalsRowShown="0">
  <autoFilter ref="A1:C5" xr:uid="{3DC0591C-1073-4913-882A-D831D691B97E}"/>
  <tableColumns count="3">
    <tableColumn id="1" xr3:uid="{6FFDF0EA-E373-46C9-98B7-8E59763DAB8D}" name="order_id"/>
    <tableColumn id="2" xr3:uid="{9FE45EAE-5284-4B29-8436-336D76F91E91}" name="customer_id"/>
    <tableColumn id="3" xr3:uid="{7BC1D9FD-769B-49CF-B6BB-77DE9845B7BE}" name="reven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B47CEA-D67B-43B2-8913-38FF694FA40C}" name="customers" displayName="customers" ref="E1:G4" totalsRowShown="0">
  <autoFilter ref="E1:G4" xr:uid="{8CB47CEA-D67B-43B2-8913-38FF694FA40C}"/>
  <tableColumns count="3">
    <tableColumn id="1" xr3:uid="{69165A3B-983B-409F-8CB7-00C43FA38CA0}" name="customer_id"/>
    <tableColumn id="2" xr3:uid="{BCF1FA5D-E00B-47E2-99B4-6511A87A46D9}" name="customer_name"/>
    <tableColumn id="3" xr3:uid="{2CBA9B13-1AD5-47D1-B766-49828802A15C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  <wetp:taskpane dockstate="right" visibility="0" width="438" row="7">
    <wetp:webextensionref xmlns:r="http://schemas.openxmlformats.org/officeDocument/2006/relationships" r:id="rId2"/>
  </wetp:taskpane>
  <wetp:taskpane dockstate="right" visibility="0" width="438" row="13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C1E95FB2-C123-48A3-BA7A-F7870DF0EAE0}">
  <we:reference id="wa200007447" version="1.1.6.7" store="cs-CZ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_xldudf_BF_OUTPUT</we:customFunctionIds>
        <we:customFunctionIds>_xldudf_BF_FUNCTION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5E41D348-775C-4A68-81DD-DFAFACDF5F77}">
  <we:reference id="wa200005502" version="1.0.0.13" store="cs-CZ" storeType="OMEX"/>
  <we:alternateReferences>
    <we:reference id="WA200005502" version="1.0.0.13" store="" storeType="OMEX"/>
  </we:alternateReferences>
  <we:properties>
    <we:property name="docId" value="&quot;jwgdxroB2r6dbZWHTgphM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113B5758-9FE6-4B0D-B213-8D652F267F56}">
  <we:reference id="wa200005669" version="2.0.0.0" store="cs-CZ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192E6-51AA-4862-973D-C3EDA1C1A538}">
  <dimension ref="A1:C10"/>
  <sheetViews>
    <sheetView tabSelected="1" workbookViewId="0"/>
  </sheetViews>
  <sheetFormatPr defaultRowHeight="14.4" x14ac:dyDescent="0.3"/>
  <cols>
    <col min="1" max="1" width="10.109375" bestFit="1" customWidth="1"/>
    <col min="2" max="2" width="10.33203125" bestFit="1" customWidth="1"/>
    <col min="3" max="3" width="9.77734375" bestFit="1" customWidth="1"/>
  </cols>
  <sheetData>
    <row r="1" spans="1:3" x14ac:dyDescent="0.3">
      <c r="A1" t="s">
        <v>32</v>
      </c>
      <c r="B1" t="s">
        <v>36</v>
      </c>
      <c r="C1" t="s">
        <v>24</v>
      </c>
    </row>
    <row r="2" spans="1:3" x14ac:dyDescent="0.3">
      <c r="A2" s="4">
        <v>46023</v>
      </c>
      <c r="B2" t="s">
        <v>33</v>
      </c>
      <c r="C2">
        <v>120</v>
      </c>
    </row>
    <row r="3" spans="1:3" x14ac:dyDescent="0.3">
      <c r="A3" s="4">
        <v>46023</v>
      </c>
      <c r="B3" t="s">
        <v>34</v>
      </c>
      <c r="C3">
        <v>90</v>
      </c>
    </row>
    <row r="4" spans="1:3" x14ac:dyDescent="0.3">
      <c r="A4" s="4">
        <v>46023</v>
      </c>
      <c r="B4" t="s">
        <v>35</v>
      </c>
      <c r="C4">
        <v>40</v>
      </c>
    </row>
    <row r="5" spans="1:3" x14ac:dyDescent="0.3">
      <c r="A5" s="4">
        <v>46054</v>
      </c>
      <c r="B5" t="s">
        <v>33</v>
      </c>
      <c r="C5">
        <v>135</v>
      </c>
    </row>
    <row r="6" spans="1:3" x14ac:dyDescent="0.3">
      <c r="A6" s="4">
        <v>46054</v>
      </c>
      <c r="B6" t="s">
        <v>34</v>
      </c>
      <c r="C6">
        <v>95</v>
      </c>
    </row>
    <row r="7" spans="1:3" x14ac:dyDescent="0.3">
      <c r="A7" s="4">
        <v>46054</v>
      </c>
      <c r="B7" t="s">
        <v>35</v>
      </c>
      <c r="C7">
        <v>45</v>
      </c>
    </row>
    <row r="8" spans="1:3" x14ac:dyDescent="0.3">
      <c r="A8" s="4">
        <v>46082</v>
      </c>
      <c r="B8" t="s">
        <v>33</v>
      </c>
      <c r="C8">
        <v>150</v>
      </c>
    </row>
    <row r="9" spans="1:3" x14ac:dyDescent="0.3">
      <c r="A9" s="4">
        <v>46082</v>
      </c>
      <c r="B9" t="s">
        <v>34</v>
      </c>
      <c r="C9">
        <v>110</v>
      </c>
    </row>
    <row r="10" spans="1:3" x14ac:dyDescent="0.3">
      <c r="A10" s="4">
        <v>46082</v>
      </c>
      <c r="B10" t="s">
        <v>35</v>
      </c>
      <c r="C10">
        <v>50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6892E-4C5D-4E3B-BB4D-55A53B58E657}">
  <dimension ref="A1:C3"/>
  <sheetViews>
    <sheetView workbookViewId="0"/>
  </sheetViews>
  <sheetFormatPr defaultRowHeight="14.4" x14ac:dyDescent="0.3"/>
  <cols>
    <col min="1" max="1" width="10.109375" bestFit="1" customWidth="1"/>
    <col min="2" max="2" width="13.5546875" bestFit="1" customWidth="1"/>
    <col min="3" max="3" width="9.77734375" bestFit="1" customWidth="1"/>
  </cols>
  <sheetData>
    <row r="1" spans="1:3" x14ac:dyDescent="0.3">
      <c r="A1" t="s">
        <v>22</v>
      </c>
      <c r="B1" t="s">
        <v>23</v>
      </c>
      <c r="C1" t="s">
        <v>24</v>
      </c>
    </row>
    <row r="2" spans="1:3" x14ac:dyDescent="0.3">
      <c r="A2">
        <v>3</v>
      </c>
      <c r="B2" t="s">
        <v>25</v>
      </c>
      <c r="C2">
        <v>15000</v>
      </c>
    </row>
    <row r="3" spans="1:3" x14ac:dyDescent="0.3">
      <c r="A3">
        <v>4</v>
      </c>
      <c r="B3" t="s">
        <v>27</v>
      </c>
      <c r="C3">
        <v>7000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BC169-0135-4181-AEFF-411A5493B3BE}">
  <dimension ref="A1:G9"/>
  <sheetViews>
    <sheetView workbookViewId="0"/>
  </sheetViews>
  <sheetFormatPr defaultRowHeight="14.4" x14ac:dyDescent="0.3"/>
  <cols>
    <col min="1" max="1" width="9.77734375" customWidth="1"/>
    <col min="2" max="2" width="13.21875" customWidth="1"/>
    <col min="3" max="3" width="9.44140625" customWidth="1"/>
    <col min="5" max="5" width="9.77734375" customWidth="1"/>
    <col min="6" max="6" width="13.21875" customWidth="1"/>
    <col min="7" max="7" width="9.44140625" customWidth="1"/>
  </cols>
  <sheetData>
    <row r="1" spans="1:7" x14ac:dyDescent="0.3">
      <c r="A1" t="s">
        <v>22</v>
      </c>
      <c r="B1" t="s">
        <v>23</v>
      </c>
      <c r="C1" t="s">
        <v>24</v>
      </c>
      <c r="E1" t="s">
        <v>22</v>
      </c>
      <c r="F1" t="s">
        <v>23</v>
      </c>
      <c r="G1" t="s">
        <v>24</v>
      </c>
    </row>
    <row r="2" spans="1:7" x14ac:dyDescent="0.3">
      <c r="A2">
        <v>1</v>
      </c>
      <c r="B2" t="s">
        <v>25</v>
      </c>
      <c r="C2">
        <v>12000</v>
      </c>
      <c r="E2">
        <v>3</v>
      </c>
      <c r="F2" t="s">
        <v>25</v>
      </c>
      <c r="G2">
        <v>15000</v>
      </c>
    </row>
    <row r="3" spans="1:7" x14ac:dyDescent="0.3">
      <c r="A3">
        <v>2</v>
      </c>
      <c r="B3" t="s">
        <v>26</v>
      </c>
      <c r="C3">
        <v>8000</v>
      </c>
      <c r="E3">
        <v>4</v>
      </c>
      <c r="F3" t="s">
        <v>27</v>
      </c>
      <c r="G3">
        <v>7000</v>
      </c>
    </row>
    <row r="5" spans="1:7" x14ac:dyDescent="0.3">
      <c r="A5" t="str" cm="1">
        <f t="array" ref="A5:C9">_xlfn._xlws.PY(0,0,A1:C3,E1:G3)</f>
        <v>order_id</v>
      </c>
      <c r="B5" t="str">
        <v>customer_id</v>
      </c>
      <c r="C5" t="str">
        <v>revenue</v>
      </c>
    </row>
    <row r="6" spans="1:7" x14ac:dyDescent="0.3">
      <c r="A6">
        <v>1</v>
      </c>
      <c r="B6" t="str">
        <v>C001</v>
      </c>
      <c r="C6">
        <v>12000</v>
      </c>
    </row>
    <row r="7" spans="1:7" x14ac:dyDescent="0.3">
      <c r="A7">
        <v>2</v>
      </c>
      <c r="B7" t="str">
        <v>C002</v>
      </c>
      <c r="C7">
        <v>8000</v>
      </c>
    </row>
    <row r="8" spans="1:7" x14ac:dyDescent="0.3">
      <c r="A8">
        <v>3</v>
      </c>
      <c r="B8" t="str">
        <v>C001</v>
      </c>
      <c r="C8">
        <v>15000</v>
      </c>
    </row>
    <row r="9" spans="1:7" x14ac:dyDescent="0.3">
      <c r="A9">
        <v>4</v>
      </c>
      <c r="B9" t="str">
        <v>C003</v>
      </c>
      <c r="C9">
        <v>7000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32617-9CF5-4AB7-8718-F808045BA7EE}">
  <dimension ref="A1:E5"/>
  <sheetViews>
    <sheetView workbookViewId="0"/>
  </sheetViews>
  <sheetFormatPr defaultRowHeight="14.4" x14ac:dyDescent="0.3"/>
  <cols>
    <col min="1" max="1" width="10.109375" bestFit="1" customWidth="1"/>
    <col min="2" max="2" width="13.5546875" bestFit="1" customWidth="1"/>
    <col min="3" max="3" width="9.77734375" bestFit="1" customWidth="1"/>
    <col min="4" max="4" width="16.6640625" bestFit="1" customWidth="1"/>
    <col min="5" max="5" width="8.33203125" bestFit="1" customWidth="1"/>
  </cols>
  <sheetData>
    <row r="1" spans="1:5" x14ac:dyDescent="0.3">
      <c r="A1" t="s">
        <v>22</v>
      </c>
      <c r="B1" t="s">
        <v>23</v>
      </c>
      <c r="C1" t="s">
        <v>24</v>
      </c>
      <c r="D1" t="s">
        <v>28</v>
      </c>
      <c r="E1" t="s">
        <v>7</v>
      </c>
    </row>
    <row r="2" spans="1:5" x14ac:dyDescent="0.3">
      <c r="A2">
        <v>1</v>
      </c>
      <c r="B2" t="s">
        <v>25</v>
      </c>
      <c r="C2">
        <v>12000</v>
      </c>
      <c r="D2" t="s">
        <v>29</v>
      </c>
      <c r="E2" t="s">
        <v>11</v>
      </c>
    </row>
    <row r="3" spans="1:5" x14ac:dyDescent="0.3">
      <c r="A3">
        <v>3</v>
      </c>
      <c r="B3" t="s">
        <v>25</v>
      </c>
      <c r="C3">
        <v>15000</v>
      </c>
      <c r="D3" t="s">
        <v>29</v>
      </c>
      <c r="E3" t="s">
        <v>11</v>
      </c>
    </row>
    <row r="4" spans="1:5" x14ac:dyDescent="0.3">
      <c r="A4">
        <v>2</v>
      </c>
      <c r="B4" t="s">
        <v>26</v>
      </c>
      <c r="C4">
        <v>8000</v>
      </c>
      <c r="D4" t="s">
        <v>30</v>
      </c>
      <c r="E4" t="s">
        <v>14</v>
      </c>
    </row>
    <row r="5" spans="1:5" x14ac:dyDescent="0.3">
      <c r="A5">
        <v>4</v>
      </c>
      <c r="B5" t="s">
        <v>27</v>
      </c>
      <c r="C5">
        <v>7000</v>
      </c>
      <c r="D5" t="s">
        <v>31</v>
      </c>
      <c r="E5" t="s">
        <v>19</v>
      </c>
    </row>
  </sheetData>
  <phoneticPr fontId="2" type="noConversion"/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A7BA-861F-40FB-9FAF-E359C5D9B399}">
  <dimension ref="A1:G11"/>
  <sheetViews>
    <sheetView workbookViewId="0">
      <selection activeCell="A7" sqref="A7"/>
    </sheetView>
  </sheetViews>
  <sheetFormatPr defaultRowHeight="14.4" x14ac:dyDescent="0.3"/>
  <cols>
    <col min="1" max="1" width="11.88671875" bestFit="1" customWidth="1"/>
    <col min="2" max="2" width="13.21875" customWidth="1"/>
    <col min="3" max="3" width="9.44140625" customWidth="1"/>
    <col min="4" max="4" width="14.109375" bestFit="1" customWidth="1"/>
    <col min="5" max="5" width="13.21875" customWidth="1"/>
    <col min="6" max="6" width="16.21875" customWidth="1"/>
  </cols>
  <sheetData>
    <row r="1" spans="1:7" x14ac:dyDescent="0.3">
      <c r="A1" t="s">
        <v>22</v>
      </c>
      <c r="B1" t="s">
        <v>23</v>
      </c>
      <c r="C1" t="s">
        <v>24</v>
      </c>
      <c r="E1" t="s">
        <v>23</v>
      </c>
      <c r="F1" t="s">
        <v>28</v>
      </c>
      <c r="G1" t="s">
        <v>7</v>
      </c>
    </row>
    <row r="2" spans="1:7" x14ac:dyDescent="0.3">
      <c r="A2">
        <v>1</v>
      </c>
      <c r="B2" t="s">
        <v>25</v>
      </c>
      <c r="C2">
        <v>12000</v>
      </c>
      <c r="E2" t="s">
        <v>25</v>
      </c>
      <c r="F2" t="s">
        <v>29</v>
      </c>
      <c r="G2" t="s">
        <v>11</v>
      </c>
    </row>
    <row r="3" spans="1:7" x14ac:dyDescent="0.3">
      <c r="A3">
        <v>2</v>
      </c>
      <c r="B3" t="s">
        <v>26</v>
      </c>
      <c r="C3">
        <v>8000</v>
      </c>
      <c r="E3" t="s">
        <v>26</v>
      </c>
      <c r="F3" t="s">
        <v>30</v>
      </c>
      <c r="G3" t="s">
        <v>14</v>
      </c>
    </row>
    <row r="4" spans="1:7" x14ac:dyDescent="0.3">
      <c r="A4">
        <v>3</v>
      </c>
      <c r="B4" t="s">
        <v>25</v>
      </c>
      <c r="C4">
        <v>15000</v>
      </c>
      <c r="E4" t="s">
        <v>27</v>
      </c>
      <c r="F4" t="s">
        <v>31</v>
      </c>
      <c r="G4" t="s">
        <v>19</v>
      </c>
    </row>
    <row r="5" spans="1:7" x14ac:dyDescent="0.3">
      <c r="A5">
        <v>4</v>
      </c>
      <c r="B5" t="s">
        <v>27</v>
      </c>
      <c r="C5">
        <v>7000</v>
      </c>
    </row>
    <row r="7" spans="1:7" x14ac:dyDescent="0.3">
      <c r="A7" t="str" cm="1">
        <f t="array" ref="A7:E11">_xlfn._xlws.PY(1,0,A1:C5,E1:G4)</f>
        <v>order_id</v>
      </c>
      <c r="B7" t="str">
        <v>customer_id</v>
      </c>
      <c r="C7" t="str">
        <v>revenue</v>
      </c>
      <c r="D7" t="str">
        <v>customer_name</v>
      </c>
      <c r="E7" t="str">
        <v>region</v>
      </c>
    </row>
    <row r="8" spans="1:7" x14ac:dyDescent="0.3">
      <c r="A8">
        <v>1</v>
      </c>
      <c r="B8" t="str">
        <v>C001</v>
      </c>
      <c r="C8">
        <v>12000</v>
      </c>
      <c r="D8" t="str">
        <v>Jan Novák</v>
      </c>
      <c r="E8" t="str">
        <v>Praha</v>
      </c>
    </row>
    <row r="9" spans="1:7" x14ac:dyDescent="0.3">
      <c r="A9">
        <v>2</v>
      </c>
      <c r="B9" t="str">
        <v>C002</v>
      </c>
      <c r="C9">
        <v>8000</v>
      </c>
      <c r="D9" t="str">
        <v>Eva Malá</v>
      </c>
      <c r="E9" t="str">
        <v>Brno</v>
      </c>
    </row>
    <row r="10" spans="1:7" x14ac:dyDescent="0.3">
      <c r="A10">
        <v>3</v>
      </c>
      <c r="B10" t="str">
        <v>C001</v>
      </c>
      <c r="C10">
        <v>15000</v>
      </c>
      <c r="D10" t="str">
        <v>Jan Novák</v>
      </c>
      <c r="E10" t="str">
        <v>Praha</v>
      </c>
    </row>
    <row r="11" spans="1:7" x14ac:dyDescent="0.3">
      <c r="A11">
        <v>4</v>
      </c>
      <c r="B11" t="str">
        <v>C003</v>
      </c>
      <c r="C11">
        <v>7000</v>
      </c>
      <c r="D11" t="str">
        <v>Petr Dvořák</v>
      </c>
      <c r="E11" t="str">
        <v>Ostrava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03B7E-8589-40B8-ACFD-E5CCD409961A}">
  <dimension ref="A1:D22"/>
  <sheetViews>
    <sheetView workbookViewId="0"/>
  </sheetViews>
  <sheetFormatPr defaultRowHeight="14.4" x14ac:dyDescent="0.3"/>
  <cols>
    <col min="1" max="1" width="14.88671875" bestFit="1" customWidth="1"/>
    <col min="2" max="2" width="12.21875" bestFit="1" customWidth="1"/>
    <col min="4" max="4" width="10.33203125" bestFit="1" customWidth="1"/>
  </cols>
  <sheetData>
    <row r="1" spans="1:4" x14ac:dyDescent="0.3">
      <c r="A1" s="1" t="s">
        <v>0</v>
      </c>
      <c r="B1" t="s">
        <v>6</v>
      </c>
    </row>
    <row r="2" spans="1:4" x14ac:dyDescent="0.3">
      <c r="A2" s="2" t="s">
        <v>1</v>
      </c>
      <c r="B2">
        <v>24000</v>
      </c>
      <c r="D2" cm="1" vm="1">
        <f t="array" ref="D2">_xlfn._xlws.PY(2,1)</f>
        <v>2</v>
      </c>
    </row>
    <row r="3" spans="1:4" x14ac:dyDescent="0.3">
      <c r="A3" s="2" t="s">
        <v>2</v>
      </c>
      <c r="B3">
        <v>10000</v>
      </c>
      <c r="D3" t="e" cm="1" vm="2">
        <f t="array" ref="D3">_xlfn._xlws.PY(3,1,A1:B5)</f>
        <v>#VALUE!</v>
      </c>
    </row>
    <row r="4" spans="1:4" x14ac:dyDescent="0.3">
      <c r="A4" s="2" t="s">
        <v>3</v>
      </c>
      <c r="B4">
        <v>75000</v>
      </c>
      <c r="D4" cm="1" vm="3">
        <f t="array" ref="D4">_xlfn._xlws.PY(4,1)</f>
        <v>133000</v>
      </c>
    </row>
    <row r="5" spans="1:4" x14ac:dyDescent="0.3">
      <c r="A5" s="2" t="s">
        <v>4</v>
      </c>
      <c r="B5">
        <v>24000</v>
      </c>
      <c r="D5" t="e" cm="1" vm="4">
        <f t="array" ref="D5">_xlfn._xlws.PY(5,1)</f>
        <v>#VALUE!</v>
      </c>
    </row>
    <row r="6" spans="1:4" x14ac:dyDescent="0.3">
      <c r="A6" s="2" t="s">
        <v>5</v>
      </c>
      <c r="B6">
        <v>133000</v>
      </c>
    </row>
    <row r="10" spans="1:4" x14ac:dyDescent="0.3">
      <c r="A10" s="3"/>
      <c r="B10" s="3"/>
      <c r="C10" s="3"/>
      <c r="D10" s="3"/>
    </row>
    <row r="11" spans="1:4" x14ac:dyDescent="0.3">
      <c r="A11" s="3" t="s">
        <v>7</v>
      </c>
      <c r="B11" s="3" t="s">
        <v>8</v>
      </c>
      <c r="C11" s="3" t="s">
        <v>9</v>
      </c>
      <c r="D11" s="3" t="s">
        <v>10</v>
      </c>
    </row>
    <row r="12" spans="1:4" x14ac:dyDescent="0.3">
      <c r="A12" s="3" t="s">
        <v>11</v>
      </c>
      <c r="B12" s="3" t="s">
        <v>3</v>
      </c>
      <c r="C12" s="3" t="s">
        <v>12</v>
      </c>
      <c r="D12" s="3" t="s">
        <v>13</v>
      </c>
    </row>
    <row r="13" spans="1:4" x14ac:dyDescent="0.3">
      <c r="A13" s="3" t="s">
        <v>14</v>
      </c>
      <c r="B13" s="3" t="s">
        <v>1</v>
      </c>
      <c r="C13" s="3" t="s">
        <v>15</v>
      </c>
      <c r="D13" s="3" t="s">
        <v>16</v>
      </c>
    </row>
    <row r="14" spans="1:4" x14ac:dyDescent="0.3">
      <c r="A14" s="3" t="s">
        <v>11</v>
      </c>
      <c r="B14" s="3" t="s">
        <v>4</v>
      </c>
      <c r="C14" s="3" t="s">
        <v>17</v>
      </c>
      <c r="D14" s="3" t="s">
        <v>18</v>
      </c>
    </row>
    <row r="15" spans="1:4" x14ac:dyDescent="0.3">
      <c r="A15" s="3" t="s">
        <v>19</v>
      </c>
      <c r="B15" s="3" t="s">
        <v>2</v>
      </c>
      <c r="C15" s="3" t="s">
        <v>12</v>
      </c>
      <c r="D15" s="3" t="s">
        <v>20</v>
      </c>
    </row>
    <row r="16" spans="1:4" x14ac:dyDescent="0.3">
      <c r="A16" s="3" t="s">
        <v>14</v>
      </c>
      <c r="B16" s="3" t="s">
        <v>3</v>
      </c>
      <c r="C16" s="3" t="s">
        <v>21</v>
      </c>
      <c r="D16" s="3" t="s">
        <v>13</v>
      </c>
    </row>
    <row r="18" spans="1:3" x14ac:dyDescent="0.3">
      <c r="A18" t="str" cm="1">
        <f t="array" ref="A18:C22">_xlfn._xlws.PY(6,0,A11:D16)</f>
        <v/>
      </c>
      <c r="B18" t="str">
        <v>product</v>
      </c>
      <c r="C18" t="str">
        <v>total</v>
      </c>
    </row>
    <row r="19" spans="1:3" x14ac:dyDescent="0.3">
      <c r="A19">
        <v>2</v>
      </c>
      <c r="B19" t="str">
        <v>Laptop</v>
      </c>
      <c r="C19">
        <v>75000</v>
      </c>
    </row>
    <row r="20" spans="1:3" x14ac:dyDescent="0.3">
      <c r="A20">
        <v>1</v>
      </c>
      <c r="B20" t="str">
        <v>Desk</v>
      </c>
      <c r="C20">
        <v>24000</v>
      </c>
    </row>
    <row r="21" spans="1:3" x14ac:dyDescent="0.3">
      <c r="A21">
        <v>3</v>
      </c>
      <c r="B21" t="str">
        <v>Monitor</v>
      </c>
      <c r="C21">
        <v>24000</v>
      </c>
    </row>
    <row r="22" spans="1:3" x14ac:dyDescent="0.3">
      <c r="A22">
        <v>0</v>
      </c>
      <c r="B22" t="str">
        <v>Chair</v>
      </c>
      <c r="C22">
        <v>10000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F7D2E4-12B9-488A-AA16-C01B3098BE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wide_long_power_query</vt:lpstr>
      <vt:lpstr>append_power_query</vt:lpstr>
      <vt:lpstr>append_python</vt:lpstr>
      <vt:lpstr>merge_power_query</vt:lpstr>
      <vt:lpstr>merge_python</vt:lpstr>
      <vt:lpstr>groupby_power_query_python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František Papst</dc:creator>
  <cp:lastModifiedBy>František Papst</cp:lastModifiedBy>
  <dcterms:created xsi:type="dcterms:W3CDTF">2026-08-31T18:21:46Z</dcterms:created>
  <dcterms:modified xsi:type="dcterms:W3CDTF">2026-08-31T20:45:22Z</dcterms:modified>
</cp:coreProperties>
</file>